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<sst xmlns="http://schemas.openxmlformats.org/spreadsheetml/2006/main" count="36" uniqueCount="30">
  <si>
    <t xml:space="preserve">Architecture</t>
  </si>
  <si>
    <t xml:space="preserve">Area (µm²)</t>
  </si>
  <si>
    <t xml:space="preserve">Power (mW)</t>
  </si>
  <si>
    <t xml:space="preserve">Freq (MHz)</t>
  </si>
  <si>
    <t xml:space="preserve">Period (ns)</t>
  </si>
  <si>
    <t xml:space="preserve">Baseline 4x8</t>
  </si>
  <si>
    <t xml:space="preserve">Baseline 8x8</t>
  </si>
  <si>
    <t xml:space="preserve">Winograd 4x8</t>
  </si>
  <si>
    <t xml:space="preserve">Square 4x8</t>
  </si>
  <si>
    <t xml:space="preserve">Square 8x8</t>
  </si>
  <si>
    <t xml:space="preserve">Square 4x8 Alpha</t>
  </si>
  <si>
    <t xml:space="preserve">Square 4x8 Alpha Squared</t>
  </si>
  <si>
    <t xml:space="preserve">Square 8x8 Alpha</t>
  </si>
  <si>
    <t xml:space="preserve">Square 8x8 Alpha Squared</t>
  </si>
  <si>
    <t xml:space="preserve">Array</t>
  </si>
  <si>
    <t xml:space="preserve">Baseline 4x8 Array</t>
  </si>
  <si>
    <t xml:space="preserve">Baseline 8x8 Array</t>
  </si>
  <si>
    <t xml:space="preserve">Square 4x8 Array</t>
  </si>
  <si>
    <t xml:space="preserve">Square 8x8 Array</t>
  </si>
  <si>
    <t xml:space="preserve">Square 4x8 Alpha Opt</t>
  </si>
  <si>
    <t xml:space="preserve">Baseline 4x8 Total</t>
  </si>
  <si>
    <t xml:space="preserve">Baseline 8x8 Total</t>
  </si>
  <si>
    <t xml:space="preserve">Square 4x8 Total</t>
  </si>
  <si>
    <t xml:space="preserve">Square 4x8 Total Opt</t>
  </si>
  <si>
    <t xml:space="preserve">Square 8x8 Total</t>
  </si>
  <si>
    <t xml:space="preserve">Baseline 8x8 vs Baseline 4x8</t>
  </si>
  <si>
    <t xml:space="preserve">Square 4x8 vs Baseline 4x8</t>
  </si>
  <si>
    <t xml:space="preserve">Square 4x8 Opt vs Baseline 4x8</t>
  </si>
  <si>
    <t xml:space="preserve">Square 8x8 vs Baseline 8x8</t>
  </si>
  <si>
    <t xml:space="preserve">Square 8x8 vs Baseline 4x8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</si>
</sst>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#,##0.00"/>
    <numFmt numFmtId="167" formatCode="General"/>
    <numFmt numFmtId="168" formatCode="0.00%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mbria"/>
      <family val="1"/>
      <charset val="1"/>
    </font>
    <font>
      <b val="true"/>
      <sz val="11"/>
      <color rgb="FFFFFFFF"/>
      <name val="Cambria"/>
      <family val="1"/>
      <charset val="1"/>
    </font>
    <font>
      <b val="true"/>
      <sz val="11"/>
      <color rgb="FF000000"/>
      <name val="Cambria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7" colorId="64" zoomScale="110" zoomScaleNormal="110" zoomScalePageLayoutView="100" workbookViewId="0">
      <selection pane="topLeft" activeCell="C33" activeCellId="0" sqref="C33"/>
    </sheetView>
  </sheetViews>
  <sheetFormatPr defaultColWidth="8.6796875" defaultRowHeight="17.05" zeroHeight="false" outlineLevelRow="0" outlineLevelCol="0"/>
  <cols>
    <col collapsed="false" customWidth="true" hidden="false" outlineLevel="0" max="1" min="1" style="1" width="31.62"/>
    <col collapsed="false" customWidth="true" hidden="false" outlineLevel="0" max="5" min="2" style="1" width="16.67"/>
    <col collapsed="false" customWidth="false" hidden="false" outlineLevel="0" max="1024" min="6" style="1" width="8.67"/>
  </cols>
  <sheetData>
    <row r="1" customFormat="false" ht="17.0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/>
      <c r="H1" s="3"/>
    </row>
    <row r="2" customFormat="false" ht="17.05" hidden="false" customHeight="true" outlineLevel="0" collapsed="false">
      <c r="A2" s="4" t="s">
        <v>5</v>
      </c>
      <c r="B2" s="5" t="n">
        <v>1637.83</v>
      </c>
      <c r="C2" s="5" t="n">
        <v>1.45</v>
      </c>
      <c r="D2" s="6" t="n">
        <v>811</v>
      </c>
      <c r="E2" s="7" t="n">
        <f aca="false">1/D2*1000</f>
        <v>1.23304562268804</v>
      </c>
      <c r="F2" s="3"/>
      <c r="G2" s="3"/>
      <c r="H2" s="3"/>
    </row>
    <row r="3" customFormat="false" ht="17.05" hidden="false" customHeight="true" outlineLevel="0" collapsed="false">
      <c r="A3" s="8" t="s">
        <v>6</v>
      </c>
      <c r="B3" s="9" t="n">
        <v>1392.8</v>
      </c>
      <c r="C3" s="9" t="n">
        <v>1.17</v>
      </c>
      <c r="D3" s="9" t="n">
        <v>874.23</v>
      </c>
      <c r="E3" s="9" t="n">
        <f aca="false">1/D3*1000</f>
        <v>1.14386374295094</v>
      </c>
    </row>
    <row r="4" customFormat="false" ht="17.05" hidden="false" customHeight="true" outlineLevel="0" collapsed="false">
      <c r="A4" s="4" t="s">
        <v>5</v>
      </c>
      <c r="B4" s="5" t="n">
        <v>1812.82</v>
      </c>
      <c r="C4" s="5" t="n">
        <v>1.54</v>
      </c>
      <c r="D4" s="5" t="n">
        <v>769.21</v>
      </c>
      <c r="E4" s="5" t="n">
        <f aca="false">1/D4*1000</f>
        <v>1.30003510094773</v>
      </c>
    </row>
    <row r="5" customFormat="false" ht="17.05" hidden="false" customHeight="true" outlineLevel="0" collapsed="false">
      <c r="A5" s="8" t="s">
        <v>7</v>
      </c>
      <c r="B5" s="9" t="n">
        <v>2257.57</v>
      </c>
      <c r="C5" s="9" t="n">
        <v>1.64</v>
      </c>
      <c r="D5" s="9" t="n">
        <v>789.04</v>
      </c>
      <c r="E5" s="9" t="n">
        <f aca="false">1/D5*1000</f>
        <v>1.26736287133732</v>
      </c>
    </row>
    <row r="6" customFormat="false" ht="17.05" hidden="false" customHeight="true" outlineLevel="0" collapsed="false">
      <c r="A6" s="4" t="s">
        <v>7</v>
      </c>
      <c r="B6" s="5" t="n">
        <v>1866.95</v>
      </c>
      <c r="C6" s="5" t="n">
        <v>1.46</v>
      </c>
      <c r="D6" s="5" t="n">
        <v>792.13</v>
      </c>
      <c r="E6" s="5" t="n">
        <f aca="false">1/D6*1000</f>
        <v>1.26241904737859</v>
      </c>
    </row>
    <row r="7" customFormat="false" ht="17.05" hidden="false" customHeight="true" outlineLevel="0" collapsed="false">
      <c r="A7" s="8" t="s">
        <v>8</v>
      </c>
      <c r="B7" s="9" t="n">
        <v>1508.34</v>
      </c>
      <c r="C7" s="9" t="n">
        <v>1.2</v>
      </c>
      <c r="D7" s="9" t="n">
        <v>774.98</v>
      </c>
      <c r="E7" s="9" t="n">
        <f aca="false">1/D7*1000</f>
        <v>1.29035588015175</v>
      </c>
    </row>
    <row r="8" customFormat="false" ht="17.05" hidden="false" customHeight="true" outlineLevel="0" collapsed="false">
      <c r="A8" s="4" t="s">
        <v>9</v>
      </c>
      <c r="B8" s="5" t="n">
        <v>1204.03</v>
      </c>
      <c r="C8" s="5" t="n">
        <v>0.939</v>
      </c>
      <c r="D8" s="5" t="n">
        <v>820.25</v>
      </c>
      <c r="E8" s="5" t="n">
        <f aca="false">1/D8*1000</f>
        <v>1.21914050594331</v>
      </c>
    </row>
    <row r="9" customFormat="false" ht="17.05" hidden="false" customHeight="true" outlineLevel="0" collapsed="false">
      <c r="A9" s="8" t="s">
        <v>10</v>
      </c>
      <c r="B9" s="9" t="n">
        <v>197.11</v>
      </c>
      <c r="C9" s="9" t="n">
        <v>0.227</v>
      </c>
      <c r="D9" s="9" t="n">
        <v>1397.76</v>
      </c>
      <c r="E9" s="9" t="n">
        <f aca="false">1/D9*1000</f>
        <v>0.715430402930403</v>
      </c>
    </row>
    <row r="10" customFormat="false" ht="17.05" hidden="false" customHeight="true" outlineLevel="0" collapsed="false">
      <c r="A10" s="4" t="s">
        <v>11</v>
      </c>
      <c r="B10" s="5" t="n">
        <v>256.8</v>
      </c>
      <c r="C10" s="5" t="n">
        <v>0.193</v>
      </c>
      <c r="D10" s="5" t="n">
        <v>1308.14</v>
      </c>
      <c r="E10" s="5" t="n">
        <f aca="false">1/D10*1000</f>
        <v>0.764444172642072</v>
      </c>
    </row>
    <row r="11" customFormat="false" ht="17.05" hidden="false" customHeight="true" outlineLevel="0" collapsed="false">
      <c r="A11" s="8" t="s">
        <v>12</v>
      </c>
      <c r="B11" s="9" t="n">
        <v>169.06</v>
      </c>
      <c r="C11" s="9" t="n">
        <v>0.208</v>
      </c>
      <c r="D11" s="9" t="n">
        <v>1678.07</v>
      </c>
      <c r="E11" s="9" t="n">
        <f aca="false">1/D11*1000</f>
        <v>0.595922696907757</v>
      </c>
    </row>
    <row r="12" customFormat="false" ht="17.05" hidden="false" customHeight="true" outlineLevel="0" collapsed="false">
      <c r="A12" s="4" t="s">
        <v>13</v>
      </c>
      <c r="B12" s="5" t="n">
        <v>424.29</v>
      </c>
      <c r="C12" s="5" t="n">
        <v>0.314</v>
      </c>
      <c r="D12" s="5" t="n">
        <v>1071.65</v>
      </c>
      <c r="E12" s="5" t="n">
        <f aca="false">1/D12*1000</f>
        <v>0.933140484299911</v>
      </c>
    </row>
    <row r="13" customFormat="false" ht="17.05" hidden="false" customHeight="true" outlineLevel="0" collapsed="false">
      <c r="E13" s="3"/>
    </row>
    <row r="14" customFormat="false" ht="17.05" hidden="false" customHeight="true" outlineLevel="0" collapsed="false">
      <c r="A14" s="10" t="s">
        <v>14</v>
      </c>
      <c r="B14" s="11" t="n">
        <v>8</v>
      </c>
      <c r="E14" s="3"/>
    </row>
    <row r="15" customFormat="false" ht="17.05" hidden="false" customHeight="true" outlineLevel="0" collapsed="false">
      <c r="E15" s="3"/>
    </row>
    <row r="16" customFormat="false" ht="17.05" hidden="false" customHeight="true" outlineLevel="0" collapsed="false">
      <c r="A16" s="1" t="s">
        <v>15</v>
      </c>
      <c r="B16" s="12" t="n">
        <f aca="false">B2*$B$14*$B$14</f>
        <v>104821.12</v>
      </c>
      <c r="C16" s="12" t="n">
        <f aca="false">C2*$B$14*$B$14</f>
        <v>92.8</v>
      </c>
    </row>
    <row r="17" customFormat="false" ht="17.05" hidden="false" customHeight="true" outlineLevel="0" collapsed="false">
      <c r="A17" s="1" t="s">
        <v>16</v>
      </c>
      <c r="B17" s="12" t="n">
        <f aca="false">B3*$B$14*$B$14</f>
        <v>89139.2</v>
      </c>
      <c r="C17" s="12" t="n">
        <f aca="false">C3*$B$14*$B$14</f>
        <v>74.88</v>
      </c>
    </row>
    <row r="18" customFormat="false" ht="17.05" hidden="false" customHeight="true" outlineLevel="0" collapsed="false">
      <c r="A18" s="1" t="s">
        <v>15</v>
      </c>
      <c r="B18" s="12" t="n">
        <f aca="false">B4*$B$14*$B$14</f>
        <v>116020.48</v>
      </c>
      <c r="C18" s="12" t="n">
        <f aca="false">C4*$B$14*$B$14</f>
        <v>98.56</v>
      </c>
    </row>
    <row r="19" customFormat="false" ht="17.05" hidden="false" customHeight="true" outlineLevel="0" collapsed="false">
      <c r="A19" s="1" t="s">
        <v>17</v>
      </c>
      <c r="B19" s="12" t="n">
        <f aca="false">B7*$B$14*$B$14</f>
        <v>96533.76</v>
      </c>
      <c r="C19" s="12" t="n">
        <f aca="false">C7*$B$14*$B$14</f>
        <v>76.8</v>
      </c>
    </row>
    <row r="20" customFormat="false" ht="17.05" hidden="false" customHeight="true" outlineLevel="0" collapsed="false">
      <c r="A20" s="1" t="s">
        <v>18</v>
      </c>
      <c r="B20" s="12" t="n">
        <f aca="false">B8*$B$14*$B$14</f>
        <v>77057.92</v>
      </c>
      <c r="C20" s="12" t="n">
        <f aca="false">C8*$B$14*$B$14</f>
        <v>60.096</v>
      </c>
    </row>
    <row r="21" customFormat="false" ht="17.05" hidden="false" customHeight="true" outlineLevel="0" collapsed="false">
      <c r="A21" s="1" t="s">
        <v>10</v>
      </c>
      <c r="B21" s="12" t="n">
        <f aca="false">(4*B10+3*B9)*$B$14</f>
        <v>12948.24</v>
      </c>
      <c r="C21" s="12" t="n">
        <f aca="false">(4*C10+3*C9)*$B$14</f>
        <v>11.624</v>
      </c>
    </row>
    <row r="22" customFormat="false" ht="17.05" hidden="false" customHeight="true" outlineLevel="0" collapsed="false">
      <c r="A22" s="1" t="s">
        <v>19</v>
      </c>
      <c r="B22" s="12" t="n">
        <f aca="false">(4*B10)*$B$14</f>
        <v>8217.6</v>
      </c>
      <c r="C22" s="12" t="n">
        <f aca="false">(4*C10+3*C9)*$B$14</f>
        <v>11.624</v>
      </c>
      <c r="D22" s="12"/>
    </row>
    <row r="23" customFormat="false" ht="17.05" hidden="false" customHeight="true" outlineLevel="0" collapsed="false">
      <c r="A23" s="1" t="s">
        <v>12</v>
      </c>
      <c r="B23" s="12" t="n">
        <f aca="false">(4*B12)*$B$14</f>
        <v>13577.28</v>
      </c>
      <c r="C23" s="12" t="n">
        <f aca="false">(4*C12)*$B$14</f>
        <v>10.048</v>
      </c>
    </row>
    <row r="24" customFormat="false" ht="17.05" hidden="false" customHeight="true" outlineLevel="0" collapsed="false">
      <c r="B24" s="12"/>
    </row>
    <row r="25" customFormat="false" ht="17.05" hidden="false" customHeight="true" outlineLevel="0" collapsed="false">
      <c r="A25" s="1" t="s">
        <v>20</v>
      </c>
      <c r="B25" s="12" t="n">
        <f aca="false">B16</f>
        <v>104821.12</v>
      </c>
      <c r="C25" s="12" t="n">
        <f aca="false">C16</f>
        <v>92.8</v>
      </c>
    </row>
    <row r="26" customFormat="false" ht="17.05" hidden="false" customHeight="true" outlineLevel="0" collapsed="false">
      <c r="A26" s="1" t="s">
        <v>21</v>
      </c>
      <c r="B26" s="12" t="n">
        <f aca="false">B17</f>
        <v>89139.2</v>
      </c>
      <c r="C26" s="12" t="n">
        <f aca="false">C17</f>
        <v>74.88</v>
      </c>
    </row>
    <row r="27" customFormat="false" ht="17.05" hidden="false" customHeight="true" outlineLevel="0" collapsed="false">
      <c r="A27" s="1" t="s">
        <v>20</v>
      </c>
      <c r="B27" s="12" t="n">
        <f aca="false">B18</f>
        <v>116020.48</v>
      </c>
      <c r="C27" s="12" t="n">
        <f aca="false">C18</f>
        <v>98.56</v>
      </c>
    </row>
    <row r="28" customFormat="false" ht="17.05" hidden="false" customHeight="true" outlineLevel="0" collapsed="false">
      <c r="A28" s="1" t="s">
        <v>22</v>
      </c>
      <c r="B28" s="12" t="n">
        <f aca="false">B19+B21</f>
        <v>109482</v>
      </c>
      <c r="C28" s="12" t="n">
        <f aca="false">C19+C21</f>
        <v>88.424</v>
      </c>
    </row>
    <row r="29" customFormat="false" ht="17.05" hidden="false" customHeight="true" outlineLevel="0" collapsed="false">
      <c r="A29" s="1" t="s">
        <v>23</v>
      </c>
      <c r="B29" s="12" t="n">
        <f aca="false">B19+B22</f>
        <v>104751.36</v>
      </c>
      <c r="C29" s="12" t="n">
        <f aca="false">C19+C22</f>
        <v>88.424</v>
      </c>
    </row>
    <row r="30" customFormat="false" ht="17.05" hidden="false" customHeight="true" outlineLevel="0" collapsed="false">
      <c r="A30" s="1" t="s">
        <v>24</v>
      </c>
      <c r="B30" s="12" t="n">
        <f aca="false">B20+B23</f>
        <v>90635.2</v>
      </c>
      <c r="C30" s="12" t="n">
        <f aca="false">C20+C23</f>
        <v>70.144</v>
      </c>
    </row>
    <row r="31" customFormat="false" ht="17.05" hidden="false" customHeight="true" outlineLevel="0" collapsed="false">
      <c r="B31" s="12"/>
    </row>
    <row r="32" customFormat="false" ht="17.05" hidden="false" customHeight="true" outlineLevel="0" collapsed="false">
      <c r="A32" s="13" t="s">
        <v>25</v>
      </c>
      <c r="B32" s="14" t="n">
        <f aca="false">-(B25-B26)/B25</f>
        <v>-0.149606491516214</v>
      </c>
      <c r="C32" s="14" t="n">
        <f aca="false">-(C25-C26)/C25</f>
        <v>-0.193103448275862</v>
      </c>
    </row>
    <row r="33" customFormat="false" ht="17.05" hidden="false" customHeight="true" outlineLevel="0" collapsed="false">
      <c r="A33" s="13" t="s">
        <v>26</v>
      </c>
      <c r="B33" s="14" t="n">
        <f aca="false">-(B25-B28)/B25</f>
        <v>0.0444650848989212</v>
      </c>
      <c r="C33" s="14" t="n">
        <f aca="false">-(C25-C28)/C25</f>
        <v>-0.0471551724137932</v>
      </c>
    </row>
    <row r="34" customFormat="false" ht="17.05" hidden="false" customHeight="true" outlineLevel="0" collapsed="false">
      <c r="A34" s="13" t="s">
        <v>27</v>
      </c>
      <c r="B34" s="14" t="n">
        <f aca="false">-(B25-B29)/B25</f>
        <v>-0.000665514735961558</v>
      </c>
      <c r="C34" s="14" t="n">
        <f aca="false">-(C25-C29)/C25</f>
        <v>-0.0471551724137932</v>
      </c>
    </row>
    <row r="35" customFormat="false" ht="17.05" hidden="false" customHeight="true" outlineLevel="0" collapsed="false">
      <c r="A35" s="13" t="s">
        <v>28</v>
      </c>
      <c r="B35" s="14" t="n">
        <f aca="false">-(B26-B30)/B26</f>
        <v>0.0167827398047099</v>
      </c>
      <c r="C35" s="14" t="n">
        <f aca="false">-(C26-C30)/C26</f>
        <v>-0.0632478632478633</v>
      </c>
    </row>
    <row r="36" customFormat="false" ht="17.05" hidden="false" customHeight="true" outlineLevel="0" collapsed="false">
      <c r="A36" s="13" t="s">
        <v>29</v>
      </c>
      <c r="B36" s="14" t="n">
        <f aca="false">(B30-B25)/B25</f>
        <v>-0.135334558531716</v>
      </c>
      <c r="C36" s="14" t="n">
        <f aca="false">(C30-C25)/C25</f>
        <v>-0.244137931034483</v>
      </c>
    </row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2026-05-08T11:23:51Z</dcterms:created>
  <dc:creator/>
  <dc:description/>
  <dc:language>en-US</dc:language>
  <cp:lastModifiedBy/>
  <dcterms:modified xsi:type="dcterms:W3CDTF">2026-05-15T12:18:12Z</dcterms:modified>
  <cp:revision>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